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AE796B78-E098-4102-A7AA-B1395F59379E}" xr6:coauthVersionLast="47" xr6:coauthVersionMax="47" xr10:uidLastSave="{00000000-0000-0000-0000-000000000000}"/>
  <bookViews>
    <workbookView xWindow="-108" yWindow="-108" windowWidth="23256" windowHeight="13176" xr2:uid="{9DD88E39-4A32-41C9-BB46-8477C71148C1}"/>
  </bookViews>
  <sheets>
    <sheet name="Financial Modelling" sheetId="1" r:id="rId1"/>
    <sheet name="Assum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8" i="1"/>
  <c r="C6" i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D3" i="2"/>
  <c r="D7" i="2"/>
  <c r="C7" i="2"/>
  <c r="B7" i="2"/>
  <c r="D6" i="2"/>
  <c r="C6" i="2"/>
  <c r="B6" i="2"/>
  <c r="D5" i="2"/>
  <c r="C5" i="2"/>
  <c r="B5" i="2"/>
  <c r="D4" i="2"/>
  <c r="C4" i="2"/>
  <c r="B4" i="2"/>
  <c r="B3" i="2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D6" i="1" l="1"/>
  <c r="D9" i="1" s="1"/>
  <c r="E8" i="1"/>
  <c r="N6" i="1"/>
  <c r="O5" i="1"/>
  <c r="O6" i="1" s="1"/>
  <c r="L6" i="1"/>
  <c r="K6" i="1"/>
  <c r="J6" i="1"/>
  <c r="I6" i="1"/>
  <c r="H6" i="1"/>
  <c r="M6" i="1"/>
  <c r="G6" i="1"/>
  <c r="F6" i="1"/>
  <c r="E6" i="1"/>
  <c r="E9" i="1" l="1"/>
  <c r="F8" i="1"/>
  <c r="F9" i="1" l="1"/>
  <c r="G8" i="1"/>
  <c r="G9" i="1" l="1"/>
  <c r="H8" i="1"/>
  <c r="I8" i="1" l="1"/>
  <c r="H9" i="1"/>
  <c r="J8" i="1" l="1"/>
  <c r="I9" i="1"/>
  <c r="K8" i="1" l="1"/>
  <c r="J9" i="1"/>
  <c r="L8" i="1" l="1"/>
  <c r="K9" i="1"/>
  <c r="M8" i="1" l="1"/>
  <c r="L9" i="1"/>
  <c r="N8" i="1" l="1"/>
  <c r="M9" i="1"/>
  <c r="O8" i="1" l="1"/>
  <c r="O9" i="1" s="1"/>
  <c r="N9" i="1"/>
</calcChain>
</file>

<file path=xl/sharedStrings.xml><?xml version="1.0" encoding="utf-8"?>
<sst xmlns="http://schemas.openxmlformats.org/spreadsheetml/2006/main" count="29" uniqueCount="25">
  <si>
    <t>Category</t>
  </si>
  <si>
    <t>Revenue</t>
  </si>
  <si>
    <t>Cost Of Sales</t>
  </si>
  <si>
    <t>Gross Profit</t>
  </si>
  <si>
    <t>Opex</t>
  </si>
  <si>
    <t>Net Income</t>
  </si>
  <si>
    <t>Assumptions</t>
  </si>
  <si>
    <t>Revenue Growth</t>
  </si>
  <si>
    <t>Cogs Growth</t>
  </si>
  <si>
    <t>Opex Growth</t>
  </si>
  <si>
    <t>Actual</t>
  </si>
  <si>
    <t>Forecast</t>
  </si>
  <si>
    <t>Column1</t>
  </si>
  <si>
    <t>Forecast2</t>
  </si>
  <si>
    <t>Forecast3</t>
  </si>
  <si>
    <t>Forecast4</t>
  </si>
  <si>
    <t>Forecast5</t>
  </si>
  <si>
    <t>Forecast6</t>
  </si>
  <si>
    <t>Forecast7</t>
  </si>
  <si>
    <t>Forecast8</t>
  </si>
  <si>
    <t>Forecast9</t>
  </si>
  <si>
    <t>Forecast10</t>
  </si>
  <si>
    <t>Forecast11</t>
  </si>
  <si>
    <t>Forecast12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</si>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</sst>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9" fontId="0" fillId="0" borderId="0" xfId="1" applyFont="1"/>
    <xf numFmtId="164" fontId="0" fillId="0" borderId="0" xfId="0" applyNumberFormat="1" applyFont="1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</cellXfs>
  <cellStyles count="2">
    <cellStyle name="Normal" xfId="0" builtinId="0"/>
    <cellStyle name="Per cent" xfId="1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ED29F-7AA8-4916-AF75-8A014E6F0B04}" name="Table2" displayName="Table2" ref="B2:O9" totalsRowShown="0" headerRowDxfId="2">
  <autoFilter ref="B2:O9" xr:uid="{A92ED29F-7AA8-4916-AF75-8A014E6F0B04}"/>
  <tableColumns count="14">
    <tableColumn id="1" xr3:uid="{4FD9A9A4-5E3E-4AF3-B3DB-8DA6E217FD5A}" name="Column1" dataDxfId="16"/>
    <tableColumn id="2" xr3:uid="{90CEE5F1-084D-4F36-9120-6E0A97D0E5E2}" name="Actual" dataDxfId="15"/>
    <tableColumn id="3" xr3:uid="{7AFA706E-A6D1-4225-A0B9-C4460A7F1C73}" name="Forecast" dataDxfId="14"/>
    <tableColumn id="4" xr3:uid="{10CFE4F2-7771-48ED-BB37-C0D0123D1BB9}" name="Forecast2" dataDxfId="13"/>
    <tableColumn id="5" xr3:uid="{0853B855-996B-449D-8B5A-66F0B62DBD50}" name="Forecast3" dataDxfId="12"/>
    <tableColumn id="6" xr3:uid="{B91CA874-623F-4A38-9FD3-8CC0D46B83A5}" name="Forecast4" dataDxfId="11"/>
    <tableColumn id="7" xr3:uid="{7E77CED3-53C2-48BC-BAFB-0EECA5CE5C7D}" name="Forecast5" dataDxfId="10"/>
    <tableColumn id="8" xr3:uid="{9058E962-9AFB-40A7-AFFA-557D9506B204}" name="Forecast6" dataDxfId="9"/>
    <tableColumn id="9" xr3:uid="{BE5DD866-3033-4496-9814-A2FF0456B7E5}" name="Forecast7" dataDxfId="8"/>
    <tableColumn id="10" xr3:uid="{79A60B1C-1F12-4A60-BB57-90F97F770EB0}" name="Forecast8" dataDxfId="7"/>
    <tableColumn id="11" xr3:uid="{EF729A31-B740-4A07-A59D-DAC46897EEC5}" name="Forecast9" dataDxfId="6"/>
    <tableColumn id="12" xr3:uid="{95DCD18D-E7F2-4ABA-A4BF-DF5B37FF5546}" name="Forecast10" dataDxfId="5"/>
    <tableColumn id="13" xr3:uid="{F3EBD0EE-C031-4533-BC23-12643B6CD521}" name="Forecast11" dataDxfId="4"/>
    <tableColumn id="14" xr3:uid="{5395960C-32F4-419B-AD0E-1941ACE0116D}" name="Forecast12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5492A-DFDD-44A1-953A-94DB242F46D6}" name="Table3" displayName="Table3" ref="B12:C16" totalsRowShown="0">
  <autoFilter ref="B12:C16" xr:uid="{8985492A-DFDD-44A1-953A-94DB242F46D6}"/>
  <tableColumns count="2">
    <tableColumn id="1" xr3:uid="{FBD88FF7-D0D9-4E74-AEE0-F5B8D056AFF9}" name="Column1" dataDxfId="1"/>
    <tableColumn id="2" xr3:uid="{82A1AA91-A380-49E3-8FD9-E33DB2B9DF8D}" name="Column2" dataDxfId="0" dataCellStyle="Per 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69C0-0C59-47B0-9714-EE1E48DD5AC4}">
  <dimension ref="B2:O16"/>
  <sheetViews>
    <sheetView tabSelected="1" workbookViewId="0">
      <selection activeCell="H16" sqref="H16"/>
    </sheetView>
  </sheetViews>
  <sheetFormatPr defaultRowHeight="14.4" x14ac:dyDescent="0.3"/>
  <cols>
    <col min="2" max="2" width="14.6640625" bestFit="1" customWidth="1"/>
    <col min="3" max="3" width="16.77734375" bestFit="1" customWidth="1"/>
    <col min="4" max="6" width="12.88671875" bestFit="1" customWidth="1"/>
    <col min="7" max="8" width="13.6640625" bestFit="1" customWidth="1"/>
    <col min="9" max="11" width="14.44140625" bestFit="1" customWidth="1"/>
    <col min="12" max="15" width="15.109375" bestFit="1" customWidth="1"/>
  </cols>
  <sheetData>
    <row r="2" spans="2:15" x14ac:dyDescent="0.3">
      <c r="B2" t="s">
        <v>12</v>
      </c>
      <c r="C2" s="4" t="s">
        <v>10</v>
      </c>
      <c r="D2" s="4" t="s">
        <v>11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</row>
    <row r="3" spans="2:15" x14ac:dyDescent="0.3">
      <c r="B3" s="5" t="s">
        <v>0</v>
      </c>
      <c r="C3" s="6">
        <v>45930</v>
      </c>
      <c r="D3" s="6">
        <f>EOMONTH(C3,1)</f>
        <v>45961</v>
      </c>
      <c r="E3" s="6">
        <f t="shared" ref="E3:O3" si="0">EOMONTH(D3,1)</f>
        <v>45991</v>
      </c>
      <c r="F3" s="6">
        <f t="shared" si="0"/>
        <v>46022</v>
      </c>
      <c r="G3" s="6">
        <f t="shared" si="0"/>
        <v>46053</v>
      </c>
      <c r="H3" s="6">
        <f t="shared" si="0"/>
        <v>46081</v>
      </c>
      <c r="I3" s="6">
        <f t="shared" si="0"/>
        <v>46112</v>
      </c>
      <c r="J3" s="6">
        <f t="shared" si="0"/>
        <v>46142</v>
      </c>
      <c r="K3" s="6">
        <f t="shared" si="0"/>
        <v>46173</v>
      </c>
      <c r="L3" s="6">
        <f t="shared" si="0"/>
        <v>46203</v>
      </c>
      <c r="M3" s="6">
        <f t="shared" si="0"/>
        <v>46234</v>
      </c>
      <c r="N3" s="6">
        <f t="shared" si="0"/>
        <v>46265</v>
      </c>
      <c r="O3" s="6">
        <f t="shared" si="0"/>
        <v>46295</v>
      </c>
    </row>
    <row r="4" spans="2:15" x14ac:dyDescent="0.3">
      <c r="B4" s="5" t="s">
        <v>1</v>
      </c>
      <c r="C4" s="1">
        <v>4000000</v>
      </c>
      <c r="D4" s="1">
        <f>C4*(1+$C14)</f>
        <v>4600000</v>
      </c>
      <c r="E4" s="1">
        <f>D4*(1+$C14)</f>
        <v>5290000</v>
      </c>
      <c r="F4" s="1">
        <f>E4*(1+$C14)</f>
        <v>6083499.9999999991</v>
      </c>
      <c r="G4" s="1">
        <f>F4*(1+$C14)</f>
        <v>6996024.9999999981</v>
      </c>
      <c r="H4" s="1">
        <f>G4*(1+$C14)</f>
        <v>8045428.7499999972</v>
      </c>
      <c r="I4" s="1">
        <f>H4*(1+$C14)</f>
        <v>9252243.0624999963</v>
      </c>
      <c r="J4" s="1">
        <f>I4*(1+$C14)</f>
        <v>10640079.521874994</v>
      </c>
      <c r="K4" s="1">
        <f>J4*(1+$C14)</f>
        <v>12236091.450156242</v>
      </c>
      <c r="L4" s="1">
        <f>K4*(1+$C14)</f>
        <v>14071505.167679677</v>
      </c>
      <c r="M4" s="1">
        <f>L4*(1+$C14)</f>
        <v>16182230.942831626</v>
      </c>
      <c r="N4" s="1">
        <f>M4*(1+$C14)</f>
        <v>18609565.58425637</v>
      </c>
      <c r="O4" s="1">
        <f>N4*(1+$C14)</f>
        <v>21401000.421894822</v>
      </c>
    </row>
    <row r="5" spans="2:15" x14ac:dyDescent="0.3">
      <c r="B5" s="5" t="s">
        <v>2</v>
      </c>
      <c r="C5" s="1">
        <v>2500000</v>
      </c>
      <c r="D5" s="1">
        <f>C5*(1+$C15)</f>
        <v>2875000</v>
      </c>
      <c r="E5" s="1">
        <f>D5*(1+$C15)</f>
        <v>3306249.9999999995</v>
      </c>
      <c r="F5" s="1">
        <f>E5*(1+$C15)</f>
        <v>3802187.4999999991</v>
      </c>
      <c r="G5" s="1">
        <f>F5*(1+$C15)</f>
        <v>4372515.6249999981</v>
      </c>
      <c r="H5" s="1">
        <f>G5*(1+$C15)</f>
        <v>5028392.9687499972</v>
      </c>
      <c r="I5" s="1">
        <f>H5*(1+$C15)</f>
        <v>5782651.9140624963</v>
      </c>
      <c r="J5" s="1">
        <f>I5*(1+$C15)</f>
        <v>6650049.7011718703</v>
      </c>
      <c r="K5" s="1">
        <f>J5*(1+$C15)</f>
        <v>7647557.1563476501</v>
      </c>
      <c r="L5" s="1">
        <f>K5*(1+$C15)</f>
        <v>8794690.7297997978</v>
      </c>
      <c r="M5" s="1">
        <f>L5*(1+$C15)</f>
        <v>10113894.339269767</v>
      </c>
      <c r="N5" s="1">
        <f>M5*(1+$C15)</f>
        <v>11630978.490160231</v>
      </c>
      <c r="O5" s="1">
        <f>N5*(1+$C15)</f>
        <v>13375625.263684263</v>
      </c>
    </row>
    <row r="6" spans="2:15" x14ac:dyDescent="0.3">
      <c r="B6" s="5" t="s">
        <v>3</v>
      </c>
      <c r="C6" s="1">
        <f>C4-C5</f>
        <v>1500000</v>
      </c>
      <c r="D6" s="1">
        <f>D4-D5</f>
        <v>1725000</v>
      </c>
      <c r="E6" s="1">
        <f t="shared" ref="E6:O6" si="1">E4-E5</f>
        <v>1983750.0000000005</v>
      </c>
      <c r="F6" s="1">
        <f t="shared" si="1"/>
        <v>2281312.5</v>
      </c>
      <c r="G6" s="1">
        <f t="shared" si="1"/>
        <v>2623509.375</v>
      </c>
      <c r="H6" s="1">
        <f t="shared" si="1"/>
        <v>3017035.78125</v>
      </c>
      <c r="I6" s="1">
        <f t="shared" si="1"/>
        <v>3469591.1484375</v>
      </c>
      <c r="J6" s="1">
        <f t="shared" si="1"/>
        <v>3990029.8207031237</v>
      </c>
      <c r="K6" s="1">
        <f t="shared" si="1"/>
        <v>4588534.2938085916</v>
      </c>
      <c r="L6" s="1">
        <f t="shared" si="1"/>
        <v>5276814.437879879</v>
      </c>
      <c r="M6" s="1">
        <f t="shared" si="1"/>
        <v>6068336.6035618596</v>
      </c>
      <c r="N6" s="1">
        <f t="shared" si="1"/>
        <v>6978587.0940961391</v>
      </c>
      <c r="O6" s="1">
        <f t="shared" si="1"/>
        <v>8025375.1582105588</v>
      </c>
    </row>
    <row r="8" spans="2:15" x14ac:dyDescent="0.3">
      <c r="B8" s="5" t="s">
        <v>4</v>
      </c>
      <c r="C8" s="1">
        <v>2850000</v>
      </c>
      <c r="D8" s="1">
        <f>C8*(1+$C16)</f>
        <v>3277499.9999999995</v>
      </c>
      <c r="E8" s="1">
        <f>D8*(1+$C16)</f>
        <v>3769124.9999999991</v>
      </c>
      <c r="F8" s="1">
        <f>E8*(1+$C16)</f>
        <v>4334493.7499999981</v>
      </c>
      <c r="G8" s="1">
        <f>F8*(1+$C16)</f>
        <v>4984667.8124999972</v>
      </c>
      <c r="H8" s="1">
        <f>G8*(1+$C16)</f>
        <v>5732367.9843749963</v>
      </c>
      <c r="I8" s="1">
        <f>H8*(1+$C16)</f>
        <v>6592223.182031245</v>
      </c>
      <c r="J8" s="1">
        <f>I8*(1+$C16)</f>
        <v>7581056.6593359308</v>
      </c>
      <c r="K8" s="1">
        <f>J8*(1+$C16)</f>
        <v>8718215.1582363192</v>
      </c>
      <c r="L8" s="1">
        <f>K8*(1+$C16)</f>
        <v>10025947.431971766</v>
      </c>
      <c r="M8" s="1">
        <f>L8*(1+$C16)</f>
        <v>11529839.546767531</v>
      </c>
      <c r="N8" s="1">
        <f>M8*(1+$C16)</f>
        <v>13259315.478782659</v>
      </c>
      <c r="O8" s="1">
        <f>N8*(1+$C16)</f>
        <v>15248212.800600057</v>
      </c>
    </row>
    <row r="9" spans="2:15" x14ac:dyDescent="0.3">
      <c r="B9" s="5" t="s">
        <v>5</v>
      </c>
      <c r="C9" s="3">
        <f>C8-C6</f>
        <v>1350000</v>
      </c>
      <c r="D9" s="3">
        <f t="shared" ref="D9:O9" si="2">D8-D6</f>
        <v>1552499.9999999995</v>
      </c>
      <c r="E9" s="3">
        <f t="shared" si="2"/>
        <v>1785374.9999999986</v>
      </c>
      <c r="F9" s="3">
        <f t="shared" si="2"/>
        <v>2053181.2499999981</v>
      </c>
      <c r="G9" s="3">
        <f t="shared" si="2"/>
        <v>2361158.4374999972</v>
      </c>
      <c r="H9" s="3">
        <f t="shared" si="2"/>
        <v>2715332.2031249963</v>
      </c>
      <c r="I9" s="3">
        <f t="shared" si="2"/>
        <v>3122632.033593745</v>
      </c>
      <c r="J9" s="3">
        <f t="shared" si="2"/>
        <v>3591026.8386328071</v>
      </c>
      <c r="K9" s="3">
        <f t="shared" si="2"/>
        <v>4129680.8644277276</v>
      </c>
      <c r="L9" s="3">
        <f t="shared" si="2"/>
        <v>4749132.994091887</v>
      </c>
      <c r="M9" s="3">
        <f t="shared" si="2"/>
        <v>5461502.9432056714</v>
      </c>
      <c r="N9" s="3">
        <f t="shared" si="2"/>
        <v>6280728.3846865203</v>
      </c>
      <c r="O9" s="3">
        <f t="shared" si="2"/>
        <v>7222837.6423894987</v>
      </c>
    </row>
    <row r="12" spans="2:15" x14ac:dyDescent="0.3">
      <c r="B12" s="5" t="s">
        <v>12</v>
      </c>
      <c r="C12" t="s">
        <v>24</v>
      </c>
    </row>
    <row r="13" spans="2:15" x14ac:dyDescent="0.3">
      <c r="B13" s="5" t="s">
        <v>6</v>
      </c>
    </row>
    <row r="14" spans="2:15" x14ac:dyDescent="0.3">
      <c r="B14" s="5" t="s">
        <v>7</v>
      </c>
      <c r="C14" s="2">
        <v>0.15</v>
      </c>
    </row>
    <row r="15" spans="2:15" x14ac:dyDescent="0.3">
      <c r="B15" s="5" t="s">
        <v>8</v>
      </c>
      <c r="C15" s="2">
        <v>0.15</v>
      </c>
    </row>
    <row r="16" spans="2:15" x14ac:dyDescent="0.3">
      <c r="B16" s="5" t="s">
        <v>9</v>
      </c>
      <c r="C16" s="2">
        <v>0.15</v>
      </c>
    </row>
  </sheetData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6251DB-4210-4690-80B5-EFCCA4FB91EC}">
          <x14:formula1>
            <xm:f>Assumptions!$B$3:$B$7</xm:f>
          </x14:formula1>
          <xm:sqref>C14</xm:sqref>
        </x14:dataValidation>
        <x14:dataValidation type="list" allowBlank="1" showInputMessage="1" showErrorMessage="1" xr:uid="{10ABBAE3-A847-4FC4-B631-3259B0DE5A8C}">
          <x14:formula1>
            <xm:f>Assumptions!$C$3:$C$7</xm:f>
          </x14:formula1>
          <xm:sqref>C15</xm:sqref>
        </x14:dataValidation>
        <x14:dataValidation type="list" allowBlank="1" showInputMessage="1" showErrorMessage="1" xr:uid="{EA8BCD70-EA3D-4A20-A9FA-E0063B88B01B}">
          <x14:formula1>
            <xm:f>Assumptions!$D$3:$D$7</xm:f>
          </x14:formula1>
          <xm:sqref>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4587-F300-435E-8AD0-7CDA39E25E95}">
  <dimension ref="B2:D7"/>
  <sheetViews>
    <sheetView workbookViewId="0">
      <selection activeCell="F16" sqref="F16"/>
    </sheetView>
  </sheetViews>
  <sheetFormatPr defaultRowHeight="14.4" x14ac:dyDescent="0.3"/>
  <cols>
    <col min="2" max="2" width="16.6640625" customWidth="1"/>
    <col min="3" max="3" width="16.44140625" customWidth="1"/>
    <col min="4" max="4" width="11.77734375" bestFit="1" customWidth="1"/>
  </cols>
  <sheetData>
    <row r="2" spans="2:4" x14ac:dyDescent="0.3">
      <c r="B2" t="s">
        <v>7</v>
      </c>
      <c r="C2" t="s">
        <v>8</v>
      </c>
      <c r="D2" t="s">
        <v>9</v>
      </c>
    </row>
    <row r="3" spans="2:4" x14ac:dyDescent="0.3">
      <c r="B3" s="2">
        <f>0/100</f>
        <v>0</v>
      </c>
      <c r="C3" s="2">
        <v>0</v>
      </c>
      <c r="D3" s="2">
        <f>5/100</f>
        <v>0.05</v>
      </c>
    </row>
    <row r="4" spans="2:4" x14ac:dyDescent="0.3">
      <c r="B4" s="2">
        <f>10/100</f>
        <v>0.1</v>
      </c>
      <c r="C4" s="2">
        <f>10/100</f>
        <v>0.1</v>
      </c>
      <c r="D4" s="2">
        <f>10/100</f>
        <v>0.1</v>
      </c>
    </row>
    <row r="5" spans="2:4" x14ac:dyDescent="0.3">
      <c r="B5" s="2">
        <f>15/100</f>
        <v>0.15</v>
      </c>
      <c r="C5" s="2">
        <f>15/100</f>
        <v>0.15</v>
      </c>
      <c r="D5" s="2">
        <f>15/100</f>
        <v>0.15</v>
      </c>
    </row>
    <row r="6" spans="2:4" x14ac:dyDescent="0.3">
      <c r="B6" s="2">
        <f>20/100</f>
        <v>0.2</v>
      </c>
      <c r="C6" s="2">
        <f>20/100</f>
        <v>0.2</v>
      </c>
      <c r="D6" s="2">
        <f>20/100</f>
        <v>0.2</v>
      </c>
    </row>
    <row r="7" spans="2:4" x14ac:dyDescent="0.3">
      <c r="B7" s="2">
        <f>-10/100</f>
        <v>-0.1</v>
      </c>
      <c r="C7" s="2">
        <f>-10/100</f>
        <v>-0.1</v>
      </c>
      <c r="D7" s="2">
        <f>-5/100</f>
        <v>-0.05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Modelling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2026-07-17T09:31:27Z</dcterms:created>
  <dcterms:modified xsi:type="dcterms:W3CDTF">2026-07-17T10:24:17Z</dcterms:modified>
</cp:coreProperties>
</file>